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n\BeLL\Bell_ki_zum_videoschnitt\result\"/>
    </mc:Choice>
  </mc:AlternateContent>
  <xr:revisionPtr revIDLastSave="0" documentId="13_ncr:1_{6D83EE55-A63C-42CC-B9D8-0EB0101E9311}" xr6:coauthVersionLast="47" xr6:coauthVersionMax="47" xr10:uidLastSave="{00000000-0000-0000-0000-000000000000}"/>
  <bookViews>
    <workbookView xWindow="-120" yWindow="-120" windowWidth="29040" windowHeight="15720" xr2:uid="{94D06B2F-F51C-4BEE-AFA9-71CBD81405C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R13" i="1"/>
  <c r="G13" i="1"/>
  <c r="N12" i="1"/>
  <c r="R12" i="1" s="1"/>
  <c r="G12" i="1"/>
  <c r="N11" i="1"/>
  <c r="R11" i="1"/>
  <c r="G11" i="1"/>
  <c r="G2" i="1"/>
  <c r="N3" i="1"/>
  <c r="N4" i="1"/>
  <c r="N5" i="1"/>
  <c r="N6" i="1"/>
  <c r="N7" i="1"/>
  <c r="N8" i="1"/>
  <c r="N9" i="1"/>
  <c r="N10" i="1"/>
  <c r="N2" i="1"/>
  <c r="G3" i="1"/>
  <c r="R3" i="1" s="1"/>
  <c r="G4" i="1"/>
  <c r="G5" i="1"/>
  <c r="R5" i="1" s="1"/>
  <c r="G6" i="1"/>
  <c r="G7" i="1"/>
  <c r="R7" i="1" s="1"/>
  <c r="G8" i="1"/>
  <c r="G9" i="1"/>
  <c r="R9" i="1" s="1"/>
  <c r="G10" i="1"/>
  <c r="R10" i="1" s="1"/>
  <c r="R2" i="1"/>
  <c r="R4" i="1" l="1"/>
  <c r="R6" i="1"/>
  <c r="R8" i="1"/>
</calcChain>
</file>

<file path=xl/sharedStrings.xml><?xml version="1.0" encoding="utf-8"?>
<sst xmlns="http://schemas.openxmlformats.org/spreadsheetml/2006/main" count="18" uniqueCount="18">
  <si>
    <t>v8</t>
  </si>
  <si>
    <t>v9</t>
  </si>
  <si>
    <t>v10</t>
  </si>
  <si>
    <t>v11</t>
  </si>
  <si>
    <t>v12</t>
  </si>
  <si>
    <t>v13</t>
  </si>
  <si>
    <t>v14</t>
  </si>
  <si>
    <t>v16</t>
  </si>
  <si>
    <t>Punktzahl menschlicher Tests</t>
  </si>
  <si>
    <t>Punktzahl KI Tests</t>
  </si>
  <si>
    <t>v15_1</t>
  </si>
  <si>
    <t>Modell</t>
  </si>
  <si>
    <t>Durchschnitt menschlicher Tests</t>
  </si>
  <si>
    <t>Durchschnitt KI Tests</t>
  </si>
  <si>
    <t>Punktzahl</t>
  </si>
  <si>
    <t>Gemini</t>
  </si>
  <si>
    <t>Mistral</t>
  </si>
  <si>
    <t>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</si>
</sst>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2" fillId="0" borderId="0" xfId="0" applyFont="1" applyFill="1"/>
    <xf numFmtId="0" fontId="0" fillId="0" borderId="0" xfId="0" applyFill="1" applyAlignment="1">
      <alignment horizontal="center"/>
    </xf>
    <xf numFmtId="0" fontId="0" fillId="0" borderId="0" xfId="0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left"/>
    </xf>
    <xf numFmtId="0" fontId="1" fillId="0" borderId="0" xfId="0" applyFont="1" applyFill="1" applyAlignment="1">
      <alignment horizontal="center"/>
    </xf>
    <xf numFmtId="0" fontId="2" fillId="2" borderId="0" xfId="0" applyFont="1" applyFill="1"/>
    <xf numFmtId="0" fontId="1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Menschliche vs. KI-Testdaten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Tabelle1!$R$1</c:f>
              <c:strCache>
                <c:ptCount val="1"/>
                <c:pt idx="0">
                  <c:v>Punktzahl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50-4FDB-9ADB-8CEDBD174ED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950-4FDB-9ADB-8CEDBD174ED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50-4FDB-9ADB-8CEDBD174EDE}"/>
              </c:ext>
            </c:extLst>
          </c:dPt>
          <c:cat>
            <c:strRef>
              <c:f>Tabelle1!$A$2:$A$13</c:f>
              <c:strCache>
                <c:ptCount val="12"/>
                <c:pt idx="0">
                  <c:v>v8</c:v>
                </c:pt>
                <c:pt idx="1">
                  <c:v>v9</c:v>
                </c:pt>
                <c:pt idx="2">
                  <c:v>v10</c:v>
                </c:pt>
                <c:pt idx="3">
                  <c:v>v11</c:v>
                </c:pt>
                <c:pt idx="4">
                  <c:v>v12</c:v>
                </c:pt>
                <c:pt idx="5">
                  <c:v>v13</c:v>
                </c:pt>
                <c:pt idx="6">
                  <c:v>v14</c:v>
                </c:pt>
                <c:pt idx="7">
                  <c:v>v15_1</c:v>
                </c:pt>
                <c:pt idx="8">
                  <c:v>v16</c:v>
                </c:pt>
                <c:pt idx="9">
                  <c:v>Gemini</c:v>
                </c:pt>
                <c:pt idx="10">
                  <c:v>Mistral</c:v>
                </c:pt>
                <c:pt idx="11">
                  <c:v>Llama</c:v>
                </c:pt>
              </c:strCache>
            </c:strRef>
          </c:cat>
          <c:val>
            <c:numRef>
              <c:f>Tabelle1!$R$2:$R$13</c:f>
              <c:numCache>
                <c:formatCode>0.00</c:formatCode>
                <c:ptCount val="12"/>
                <c:pt idx="0">
                  <c:v>38.022800000000004</c:v>
                </c:pt>
                <c:pt idx="1">
                  <c:v>54.497999999999998</c:v>
                </c:pt>
                <c:pt idx="2">
                  <c:v>51.674799999999991</c:v>
                </c:pt>
                <c:pt idx="3">
                  <c:v>62.452999999999996</c:v>
                </c:pt>
                <c:pt idx="4">
                  <c:v>47.161799999999999</c:v>
                </c:pt>
                <c:pt idx="5">
                  <c:v>67.470100000000002</c:v>
                </c:pt>
                <c:pt idx="6">
                  <c:v>60.698099999999997</c:v>
                </c:pt>
                <c:pt idx="7">
                  <c:v>67.143799999999999</c:v>
                </c:pt>
                <c:pt idx="8">
                  <c:v>63.939599999999999</c:v>
                </c:pt>
                <c:pt idx="9">
                  <c:v>63.996499999999997</c:v>
                </c:pt>
                <c:pt idx="10">
                  <c:v>28.9574</c:v>
                </c:pt>
                <c:pt idx="11">
                  <c:v>35.0398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50-4FDB-9ADB-8CEDBD174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2392159"/>
        <c:axId val="462384479"/>
      </c:barChart>
      <c:lineChart>
        <c:grouping val="standard"/>
        <c:varyColors val="0"/>
        <c:ser>
          <c:idx val="0"/>
          <c:order val="0"/>
          <c:tx>
            <c:strRef>
              <c:f>Tabelle1!$G$1</c:f>
              <c:strCache>
                <c:ptCount val="1"/>
                <c:pt idx="0">
                  <c:v>Durchschnitt menschlicher Tests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Tabelle1!$A$2:$A$13</c:f>
              <c:strCache>
                <c:ptCount val="12"/>
                <c:pt idx="0">
                  <c:v>v8</c:v>
                </c:pt>
                <c:pt idx="1">
                  <c:v>v9</c:v>
                </c:pt>
                <c:pt idx="2">
                  <c:v>v10</c:v>
                </c:pt>
                <c:pt idx="3">
                  <c:v>v11</c:v>
                </c:pt>
                <c:pt idx="4">
                  <c:v>v12</c:v>
                </c:pt>
                <c:pt idx="5">
                  <c:v>v13</c:v>
                </c:pt>
                <c:pt idx="6">
                  <c:v>v14</c:v>
                </c:pt>
                <c:pt idx="7">
                  <c:v>v15_1</c:v>
                </c:pt>
                <c:pt idx="8">
                  <c:v>v16</c:v>
                </c:pt>
                <c:pt idx="9">
                  <c:v>Gemini</c:v>
                </c:pt>
                <c:pt idx="10">
                  <c:v>Mistral</c:v>
                </c:pt>
                <c:pt idx="11">
                  <c:v>Llama</c:v>
                </c:pt>
              </c:strCache>
            </c:strRef>
          </c:cat>
          <c:val>
            <c:numRef>
              <c:f>Tabelle1!$G$2:$G$13</c:f>
              <c:numCache>
                <c:formatCode>0.00</c:formatCode>
                <c:ptCount val="12"/>
                <c:pt idx="0">
                  <c:v>22.120200000000001</c:v>
                </c:pt>
                <c:pt idx="1">
                  <c:v>35.932000000000002</c:v>
                </c:pt>
                <c:pt idx="2">
                  <c:v>25.9298</c:v>
                </c:pt>
                <c:pt idx="3">
                  <c:v>46.297399999999996</c:v>
                </c:pt>
                <c:pt idx="4">
                  <c:v>16.301400000000001</c:v>
                </c:pt>
                <c:pt idx="5">
                  <c:v>57.347200000000001</c:v>
                </c:pt>
                <c:pt idx="6">
                  <c:v>28.54</c:v>
                </c:pt>
                <c:pt idx="7">
                  <c:v>51.651800000000001</c:v>
                </c:pt>
                <c:pt idx="8">
                  <c:v>62.814999999999998</c:v>
                </c:pt>
                <c:pt idx="9">
                  <c:v>71.641400000000004</c:v>
                </c:pt>
                <c:pt idx="10">
                  <c:v>28.806799999999999</c:v>
                </c:pt>
                <c:pt idx="11">
                  <c:v>31.124399999999998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0-4FDB-9ADB-8CEDBD174EDE}"/>
            </c:ext>
          </c:extLst>
        </c:ser>
        <c:ser>
          <c:idx val="1"/>
          <c:order val="1"/>
          <c:tx>
            <c:strRef>
              <c:f>Tabelle1!$N$1</c:f>
              <c:strCache>
                <c:ptCount val="1"/>
                <c:pt idx="0">
                  <c:v>Durchschnitt KI Tests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Tabelle1!$A$2:$A$13</c:f>
              <c:strCache>
                <c:ptCount val="12"/>
                <c:pt idx="0">
                  <c:v>v8</c:v>
                </c:pt>
                <c:pt idx="1">
                  <c:v>v9</c:v>
                </c:pt>
                <c:pt idx="2">
                  <c:v>v10</c:v>
                </c:pt>
                <c:pt idx="3">
                  <c:v>v11</c:v>
                </c:pt>
                <c:pt idx="4">
                  <c:v>v12</c:v>
                </c:pt>
                <c:pt idx="5">
                  <c:v>v13</c:v>
                </c:pt>
                <c:pt idx="6">
                  <c:v>v14</c:v>
                </c:pt>
                <c:pt idx="7">
                  <c:v>v15_1</c:v>
                </c:pt>
                <c:pt idx="8">
                  <c:v>v16</c:v>
                </c:pt>
                <c:pt idx="9">
                  <c:v>Gemini</c:v>
                </c:pt>
                <c:pt idx="10">
                  <c:v>Mistral</c:v>
                </c:pt>
                <c:pt idx="11">
                  <c:v>Llama</c:v>
                </c:pt>
              </c:strCache>
            </c:strRef>
          </c:cat>
          <c:val>
            <c:numRef>
              <c:f>Tabelle1!$N$2:$N$13</c:f>
              <c:numCache>
                <c:formatCode>0.00</c:formatCode>
                <c:ptCount val="12"/>
                <c:pt idx="0">
                  <c:v>53.925400000000003</c:v>
                </c:pt>
                <c:pt idx="1">
                  <c:v>73.063999999999993</c:v>
                </c:pt>
                <c:pt idx="2">
                  <c:v>77.419799999999981</c:v>
                </c:pt>
                <c:pt idx="3">
                  <c:v>78.608599999999996</c:v>
                </c:pt>
                <c:pt idx="4">
                  <c:v>78.022199999999998</c:v>
                </c:pt>
                <c:pt idx="5">
                  <c:v>77.593000000000004</c:v>
                </c:pt>
                <c:pt idx="6">
                  <c:v>92.856200000000001</c:v>
                </c:pt>
                <c:pt idx="7">
                  <c:v>82.635799999999989</c:v>
                </c:pt>
                <c:pt idx="8">
                  <c:v>65.0642</c:v>
                </c:pt>
                <c:pt idx="9">
                  <c:v>56.351599999999998</c:v>
                </c:pt>
                <c:pt idx="10">
                  <c:v>29.108000000000004</c:v>
                </c:pt>
                <c:pt idx="11">
                  <c:v>38.955200000000005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50-4FDB-9ADB-8CEDBD174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392159"/>
        <c:axId val="462384479"/>
      </c:lineChart>
      <c:catAx>
        <c:axId val="46239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Modell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2384479"/>
        <c:crosses val="autoZero"/>
        <c:auto val="1"/>
        <c:lblAlgn val="ctr"/>
        <c:lblOffset val="100"/>
        <c:noMultiLvlLbl val="0"/>
      </c:catAx>
      <c:valAx>
        <c:axId val="4623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Punktzahl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6239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388064</xdr:colOff>
      <xdr:row>19</xdr:row>
      <xdr:rowOff>133153</xdr:rowOff>
    </xdr:from>
    <xdr:to>
      <xdr:col>12</xdr:col>
      <xdr:colOff>304020</xdr:colOff>
      <xdr:row>45</xdr:row>
      <xdr:rowOff>8770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CCB303FB-0E84-9687-7BF2-B18D7D438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8E88-8298-48B0-A965-F4E33A3268C6}">
  <dimension ref="A1:S14"/>
  <sheetViews>
    <sheetView tabSelected="1" zoomScale="85" zoomScaleNormal="85" workbookViewId="0">
      <selection activeCell="P26" sqref="P26"/>
    </sheetView>
  </sheetViews>
  <sheetFormatPr baseColWidth="10" defaultRowHeight="15" x14ac:dyDescent="0.25"/>
  <sheetData>
    <row r="1" spans="1:19" x14ac:dyDescent="0.25">
      <c r="A1" s="6" t="s">
        <v>11</v>
      </c>
      <c r="B1" s="4" t="s">
        <v>8</v>
      </c>
      <c r="C1" s="4"/>
      <c r="D1" s="4"/>
      <c r="E1" s="4"/>
      <c r="F1" s="4"/>
      <c r="G1" s="9" t="s">
        <v>12</v>
      </c>
      <c r="H1" s="1"/>
      <c r="I1" s="4" t="s">
        <v>9</v>
      </c>
      <c r="J1" s="4"/>
      <c r="K1" s="4"/>
      <c r="L1" s="4"/>
      <c r="M1" s="4"/>
      <c r="N1" s="9" t="s">
        <v>13</v>
      </c>
      <c r="O1" s="1"/>
      <c r="P1" s="11"/>
      <c r="Q1" s="6"/>
      <c r="R1" s="7" t="s">
        <v>14</v>
      </c>
      <c r="S1" s="1"/>
    </row>
    <row r="2" spans="1:19" x14ac:dyDescent="0.25">
      <c r="A2" s="3" t="s">
        <v>0</v>
      </c>
      <c r="B2" s="8">
        <v>85.790999999999997</v>
      </c>
      <c r="C2" s="8">
        <v>0</v>
      </c>
      <c r="D2" s="8">
        <v>13.55</v>
      </c>
      <c r="E2" s="8">
        <v>11.26</v>
      </c>
      <c r="F2" s="8">
        <v>0</v>
      </c>
      <c r="G2" s="8">
        <f>AVERAGE(B2:F2)</f>
        <v>22.120200000000001</v>
      </c>
      <c r="H2" s="2"/>
      <c r="I2" s="8">
        <v>77.549000000000007</v>
      </c>
      <c r="J2" s="8">
        <v>57.209000000000003</v>
      </c>
      <c r="K2" s="8">
        <v>58.76</v>
      </c>
      <c r="L2" s="8">
        <v>68.427999999999997</v>
      </c>
      <c r="M2" s="8">
        <v>7.681</v>
      </c>
      <c r="N2" s="8">
        <f>AVERAGE(I2:M2)</f>
        <v>53.925400000000003</v>
      </c>
      <c r="O2" s="2"/>
      <c r="P2" s="2"/>
      <c r="Q2" s="3"/>
      <c r="R2" s="8">
        <f>AVERAGE(G2,N2)</f>
        <v>38.022800000000004</v>
      </c>
      <c r="S2" s="2"/>
    </row>
    <row r="3" spans="1:19" x14ac:dyDescent="0.25">
      <c r="A3" s="3" t="s">
        <v>1</v>
      </c>
      <c r="B3" s="8">
        <v>75.531999999999996</v>
      </c>
      <c r="C3" s="8">
        <v>46.473999999999997</v>
      </c>
      <c r="D3" s="8">
        <v>49.436999999999998</v>
      </c>
      <c r="E3" s="8">
        <v>0</v>
      </c>
      <c r="F3" s="8">
        <v>8.2170000000000005</v>
      </c>
      <c r="G3" s="8">
        <f t="shared" ref="G3:G13" si="0">AVERAGE(B3:F3)</f>
        <v>35.932000000000002</v>
      </c>
      <c r="H3" s="2"/>
      <c r="I3" s="8">
        <v>66.177999999999997</v>
      </c>
      <c r="J3" s="8">
        <v>60.302</v>
      </c>
      <c r="K3" s="8">
        <v>88.805000000000007</v>
      </c>
      <c r="L3" s="8">
        <v>64.92</v>
      </c>
      <c r="M3" s="8">
        <v>85.114999999999995</v>
      </c>
      <c r="N3" s="8">
        <f t="shared" ref="N3:N13" si="1">AVERAGE(I3:M3)</f>
        <v>73.063999999999993</v>
      </c>
      <c r="O3" s="2"/>
      <c r="P3" s="2"/>
      <c r="Q3" s="3"/>
      <c r="R3" s="8">
        <f>AVERAGE(G3,N3)</f>
        <v>54.497999999999998</v>
      </c>
      <c r="S3" s="2"/>
    </row>
    <row r="4" spans="1:19" x14ac:dyDescent="0.25">
      <c r="A4" s="3" t="s">
        <v>2</v>
      </c>
      <c r="B4" s="8">
        <v>74.129000000000005</v>
      </c>
      <c r="C4" s="8">
        <v>0.161</v>
      </c>
      <c r="D4" s="8">
        <v>48.61</v>
      </c>
      <c r="E4" s="8">
        <v>0</v>
      </c>
      <c r="F4" s="8">
        <v>6.7489999999999997</v>
      </c>
      <c r="G4" s="8">
        <f t="shared" si="0"/>
        <v>25.9298</v>
      </c>
      <c r="H4" s="2"/>
      <c r="I4" s="8">
        <v>92.394999999999996</v>
      </c>
      <c r="J4" s="8">
        <v>53.561999999999998</v>
      </c>
      <c r="K4" s="8">
        <v>97.471999999999994</v>
      </c>
      <c r="L4" s="8">
        <v>56.863999999999997</v>
      </c>
      <c r="M4" s="8">
        <v>86.805999999999997</v>
      </c>
      <c r="N4" s="8">
        <f t="shared" si="1"/>
        <v>77.419799999999981</v>
      </c>
      <c r="O4" s="2"/>
      <c r="P4" s="2"/>
      <c r="Q4" s="3"/>
      <c r="R4" s="8">
        <f>AVERAGE(G4,N4)</f>
        <v>51.674799999999991</v>
      </c>
      <c r="S4" s="2"/>
    </row>
    <row r="5" spans="1:19" x14ac:dyDescent="0.25">
      <c r="A5" s="3" t="s">
        <v>3</v>
      </c>
      <c r="B5" s="8">
        <v>44.418999999999997</v>
      </c>
      <c r="C5" s="8">
        <v>97.807000000000002</v>
      </c>
      <c r="D5" s="8">
        <v>89.260999999999996</v>
      </c>
      <c r="E5" s="8">
        <v>0</v>
      </c>
      <c r="F5" s="8">
        <v>0</v>
      </c>
      <c r="G5" s="8">
        <f t="shared" si="0"/>
        <v>46.297399999999996</v>
      </c>
      <c r="H5" s="2"/>
      <c r="I5" s="8">
        <v>92.575999999999993</v>
      </c>
      <c r="J5" s="8">
        <v>72.358000000000004</v>
      </c>
      <c r="K5" s="8">
        <v>80.989000000000004</v>
      </c>
      <c r="L5" s="8">
        <v>78.7</v>
      </c>
      <c r="M5" s="8">
        <v>68.42</v>
      </c>
      <c r="N5" s="8">
        <f t="shared" si="1"/>
        <v>78.608599999999996</v>
      </c>
      <c r="O5" s="2"/>
      <c r="P5" s="2"/>
      <c r="Q5" s="3"/>
      <c r="R5" s="8">
        <f>AVERAGE(G5,N5)</f>
        <v>62.452999999999996</v>
      </c>
      <c r="S5" s="2"/>
    </row>
    <row r="6" spans="1:19" x14ac:dyDescent="0.25">
      <c r="A6" s="3" t="s">
        <v>4</v>
      </c>
      <c r="B6" s="8">
        <v>0</v>
      </c>
      <c r="C6" s="8">
        <v>0.107</v>
      </c>
      <c r="D6" s="8">
        <v>81.400000000000006</v>
      </c>
      <c r="E6" s="8">
        <v>0</v>
      </c>
      <c r="F6" s="8">
        <v>0</v>
      </c>
      <c r="G6" s="8">
        <f t="shared" si="0"/>
        <v>16.301400000000001</v>
      </c>
      <c r="H6" s="2"/>
      <c r="I6" s="8">
        <v>87.747</v>
      </c>
      <c r="J6" s="8">
        <v>71.695999999999998</v>
      </c>
      <c r="K6" s="8">
        <v>88.805000000000007</v>
      </c>
      <c r="L6" s="8">
        <v>69.674999999999997</v>
      </c>
      <c r="M6" s="8">
        <v>72.188000000000002</v>
      </c>
      <c r="N6" s="8">
        <f t="shared" si="1"/>
        <v>78.022199999999998</v>
      </c>
      <c r="O6" s="2"/>
      <c r="P6" s="2"/>
      <c r="Q6" s="3"/>
      <c r="R6" s="8">
        <f>AVERAGE(G6,N6)</f>
        <v>47.161799999999999</v>
      </c>
      <c r="S6" s="2"/>
    </row>
    <row r="7" spans="1:19" x14ac:dyDescent="0.25">
      <c r="A7" s="3" t="s">
        <v>5</v>
      </c>
      <c r="B7" s="8">
        <v>44.954999999999998</v>
      </c>
      <c r="C7" s="8">
        <v>98.825999999999993</v>
      </c>
      <c r="D7" s="8">
        <v>49.042000000000002</v>
      </c>
      <c r="E7" s="8">
        <v>0</v>
      </c>
      <c r="F7" s="8">
        <v>93.912999999999997</v>
      </c>
      <c r="G7" s="8">
        <f t="shared" si="0"/>
        <v>57.347200000000001</v>
      </c>
      <c r="H7" s="5"/>
      <c r="I7" s="8">
        <v>84.584999999999994</v>
      </c>
      <c r="J7" s="8">
        <v>72.525999999999996</v>
      </c>
      <c r="K7" s="8">
        <v>88.805000000000007</v>
      </c>
      <c r="L7" s="8">
        <v>76.507000000000005</v>
      </c>
      <c r="M7" s="8">
        <v>65.542000000000002</v>
      </c>
      <c r="N7" s="8">
        <f t="shared" si="1"/>
        <v>77.593000000000004</v>
      </c>
      <c r="O7" s="2"/>
      <c r="P7" s="2"/>
      <c r="Q7" s="3"/>
      <c r="R7" s="8">
        <f>AVERAGE(G7,N7)</f>
        <v>67.470100000000002</v>
      </c>
      <c r="S7" s="2"/>
    </row>
    <row r="8" spans="1:19" x14ac:dyDescent="0.25">
      <c r="A8" s="3" t="s">
        <v>6</v>
      </c>
      <c r="B8" s="8">
        <v>80.844999999999999</v>
      </c>
      <c r="C8" s="8">
        <v>0</v>
      </c>
      <c r="D8" s="8">
        <v>4.6390000000000002</v>
      </c>
      <c r="E8" s="8">
        <v>0</v>
      </c>
      <c r="F8" s="8">
        <v>57.216000000000001</v>
      </c>
      <c r="G8" s="8">
        <f t="shared" si="0"/>
        <v>28.54</v>
      </c>
      <c r="H8" s="2"/>
      <c r="I8" s="8">
        <v>90.513999999999996</v>
      </c>
      <c r="J8" s="8">
        <v>100</v>
      </c>
      <c r="K8" s="8">
        <v>88.805000000000007</v>
      </c>
      <c r="L8" s="8">
        <v>98.156000000000006</v>
      </c>
      <c r="M8" s="8">
        <v>86.805999999999997</v>
      </c>
      <c r="N8" s="8">
        <f t="shared" si="1"/>
        <v>92.856200000000001</v>
      </c>
      <c r="O8" s="2"/>
      <c r="P8" s="2"/>
      <c r="Q8" s="3"/>
      <c r="R8" s="8">
        <f>AVERAGE(G8,N8)</f>
        <v>60.698099999999997</v>
      </c>
      <c r="S8" s="2"/>
    </row>
    <row r="9" spans="1:19" x14ac:dyDescent="0.25">
      <c r="A9" s="3" t="s">
        <v>10</v>
      </c>
      <c r="B9" s="8">
        <v>68.051000000000002</v>
      </c>
      <c r="C9" s="8">
        <v>98.825999999999993</v>
      </c>
      <c r="D9" s="8">
        <v>91.382000000000005</v>
      </c>
      <c r="E9" s="8">
        <v>0</v>
      </c>
      <c r="F9" s="8">
        <v>0</v>
      </c>
      <c r="G9" s="8">
        <f t="shared" si="0"/>
        <v>51.651800000000001</v>
      </c>
      <c r="H9" s="2"/>
      <c r="I9" s="8">
        <v>84.584999999999994</v>
      </c>
      <c r="J9" s="8">
        <v>78.361000000000004</v>
      </c>
      <c r="K9" s="8">
        <v>88.805000000000007</v>
      </c>
      <c r="L9" s="8">
        <v>72.516000000000005</v>
      </c>
      <c r="M9" s="8">
        <v>88.912000000000006</v>
      </c>
      <c r="N9" s="8">
        <f t="shared" si="1"/>
        <v>82.635799999999989</v>
      </c>
      <c r="O9" s="2"/>
      <c r="P9" s="2"/>
      <c r="Q9" s="3"/>
      <c r="R9" s="8">
        <f>AVERAGE(G9,N9)</f>
        <v>67.143799999999999</v>
      </c>
      <c r="S9" s="2"/>
    </row>
    <row r="10" spans="1:19" x14ac:dyDescent="0.25">
      <c r="A10" s="3" t="s">
        <v>7</v>
      </c>
      <c r="B10" s="8">
        <v>86.463999999999999</v>
      </c>
      <c r="C10" s="8">
        <v>91.915999999999997</v>
      </c>
      <c r="D10" s="8">
        <v>89.694999999999993</v>
      </c>
      <c r="E10" s="8">
        <v>0</v>
      </c>
      <c r="F10" s="8">
        <v>46</v>
      </c>
      <c r="G10" s="8">
        <f t="shared" si="0"/>
        <v>62.814999999999998</v>
      </c>
      <c r="H10" s="2"/>
      <c r="I10" s="8">
        <v>86.956999999999994</v>
      </c>
      <c r="J10" s="8">
        <v>76.960999999999999</v>
      </c>
      <c r="K10" s="8">
        <v>88.805000000000007</v>
      </c>
      <c r="L10" s="8">
        <v>0</v>
      </c>
      <c r="M10" s="8">
        <v>72.597999999999999</v>
      </c>
      <c r="N10" s="8">
        <f t="shared" si="1"/>
        <v>65.0642</v>
      </c>
      <c r="O10" s="2"/>
      <c r="P10" s="2"/>
      <c r="Q10" s="3"/>
      <c r="R10" s="8">
        <f>AVERAGE(G10,N10)</f>
        <v>63.939599999999999</v>
      </c>
      <c r="S10" s="2"/>
    </row>
    <row r="11" spans="1:19" x14ac:dyDescent="0.25">
      <c r="A11" s="10" t="s">
        <v>15</v>
      </c>
      <c r="B11" s="8">
        <v>84.049000000000007</v>
      </c>
      <c r="C11" s="8">
        <v>96.744</v>
      </c>
      <c r="D11" s="8">
        <v>97.849000000000004</v>
      </c>
      <c r="E11" s="8">
        <v>0</v>
      </c>
      <c r="F11" s="8">
        <v>79.564999999999998</v>
      </c>
      <c r="G11" s="8">
        <f t="shared" si="0"/>
        <v>71.641400000000004</v>
      </c>
      <c r="I11" s="8">
        <v>93.015000000000001</v>
      </c>
      <c r="J11" s="8">
        <v>3.98</v>
      </c>
      <c r="K11" s="8">
        <v>97.471999999999994</v>
      </c>
      <c r="L11" s="8">
        <v>0.48499999999999999</v>
      </c>
      <c r="M11" s="8">
        <v>86.805999999999997</v>
      </c>
      <c r="N11" s="8">
        <f t="shared" si="1"/>
        <v>56.351599999999998</v>
      </c>
      <c r="P11" s="2"/>
      <c r="Q11" s="3"/>
      <c r="R11" s="8">
        <f>AVERAGE(G11,N11)</f>
        <v>63.996499999999997</v>
      </c>
    </row>
    <row r="12" spans="1:19" x14ac:dyDescent="0.25">
      <c r="A12" s="10" t="s">
        <v>16</v>
      </c>
      <c r="B12" s="8">
        <v>38.905000000000001</v>
      </c>
      <c r="C12" s="8">
        <v>32.466999999999999</v>
      </c>
      <c r="D12" s="8">
        <v>49.417000000000002</v>
      </c>
      <c r="E12" s="8">
        <v>14.263999999999999</v>
      </c>
      <c r="F12" s="8">
        <v>8.9809999999999999</v>
      </c>
      <c r="G12" s="8">
        <f t="shared" si="0"/>
        <v>28.806799999999999</v>
      </c>
      <c r="I12" s="8">
        <v>75.555999999999997</v>
      </c>
      <c r="J12" s="8">
        <v>3.98</v>
      </c>
      <c r="K12" s="8">
        <v>3.8969999999999998</v>
      </c>
      <c r="L12" s="8">
        <v>0</v>
      </c>
      <c r="M12" s="8">
        <v>62.106999999999999</v>
      </c>
      <c r="N12" s="8">
        <f t="shared" si="1"/>
        <v>29.108000000000004</v>
      </c>
      <c r="P12" s="2"/>
      <c r="Q12" s="3"/>
      <c r="R12" s="8">
        <f>AVERAGE(G12,N12)</f>
        <v>28.9574</v>
      </c>
    </row>
    <row r="13" spans="1:19" x14ac:dyDescent="0.25">
      <c r="A13" s="10" t="s">
        <v>17</v>
      </c>
      <c r="B13" s="8">
        <v>41.530999999999999</v>
      </c>
      <c r="C13" s="8">
        <v>35.616</v>
      </c>
      <c r="D13" s="8">
        <v>50.963000000000001</v>
      </c>
      <c r="E13" s="8">
        <v>12.976000000000001</v>
      </c>
      <c r="F13" s="8">
        <v>14.536</v>
      </c>
      <c r="G13" s="8">
        <f t="shared" si="0"/>
        <v>31.124399999999998</v>
      </c>
      <c r="I13" s="8">
        <v>94.757000000000005</v>
      </c>
      <c r="J13" s="8">
        <v>95.548000000000002</v>
      </c>
      <c r="K13" s="8">
        <v>0</v>
      </c>
      <c r="L13" s="8">
        <v>4.4710000000000001</v>
      </c>
      <c r="M13" s="8">
        <v>0</v>
      </c>
      <c r="N13" s="8">
        <f t="shared" si="1"/>
        <v>38.955200000000005</v>
      </c>
      <c r="P13" s="2"/>
      <c r="Q13" s="3"/>
      <c r="R13" s="8">
        <f>AVERAGE(G13,N13)</f>
        <v>35.0398</v>
      </c>
    </row>
    <row r="14" spans="1:19" x14ac:dyDescent="0.25">
      <c r="P14" s="2"/>
      <c r="Q14" s="3"/>
    </row>
  </sheetData>
  <mergeCells count="2">
    <mergeCell ref="B1:F1"/>
    <mergeCell ref="I1:M1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Masoud.Ziaei</dc:creator>
  <cp:lastModifiedBy>Masoud.Ziaei</cp:lastModifiedBy>
  <cp:lastPrinted>2025-12-25T13:08:19Z</cp:lastPrinted>
  <dcterms:created xsi:type="dcterms:W3CDTF">2025-12-25T11:29:04Z</dcterms:created>
  <dcterms:modified xsi:type="dcterms:W3CDTF">2025-12-25T19:29:23Z</dcterms:modified>
</cp:coreProperties>
</file>